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de\Desktop\"/>
    </mc:Choice>
  </mc:AlternateContent>
  <xr:revisionPtr revIDLastSave="0" documentId="13_ncr:1_{75A2E81F-E49F-42E6-90BA-A7C9E24628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E13" i="1" l="1"/>
  <c r="E14" i="1"/>
  <c r="E15" i="1"/>
  <c r="E16" i="1"/>
  <c r="E17" i="1"/>
  <c r="E18" i="1"/>
  <c r="E19" i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<sst xmlns="http://schemas.openxmlformats.org/spreadsheetml/2006/main" count="164" uniqueCount="66">
  <si>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</si>
  <si>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</si>
  <si>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</si>
  <si>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</si>
  <si>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ESTUDIANTE 2</t>
  </si>
  <si>
    <t>ESTUDIANTE 3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</si>
  <si>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</si>
  <si>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</si>
  <si>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</si>
  <si>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</si>
  <si>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</si>
  <si>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</si>
  <si>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</si>
  <si>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</si>
  <si>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</si>
  <si>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</si>
  <si>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</si>
  <si>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</si>
  <si>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</si>
  <si>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</si>
  <si>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</si>
  <si>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</si>
  <si>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</si>
  <si>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</si>
  <si>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</si>
  <si>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</si>
  <si>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</si>
  <si>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</si>
  <si>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</si>
  <si>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</si>
  <si>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</si>
  <si>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</si>
  <si>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</si>
  <si>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</si>
  <si>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</si>
  <si>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</si>
  <si>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</si>
  <si>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</si>
  <si>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</si>
  <si>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</si>
  <si>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</si>
  <si>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</si>
  <si>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</si>
  <si>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</si>
  <si>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</si>
  <si>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</si>
  <si>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</si>
  <si>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</si>
  <si>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</si>
  <si>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</si>
  <si>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</si>
  <si>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</si>
  <si>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</si>
  <si>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</si>
  <si>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</si>
  <si>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</si>
  <si>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</si>
  <si>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</si>
  <si>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</si>
  <si>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</si>
  <si>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</si>
  <si>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</si>
  <si>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</si>
  <si>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</si>
  <si>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</si>
  <si>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SEBASTIAN ALEJANDRO VALDES ZUÑIGA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</si>
</sst>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D8" sqref="D8"/>
    </sheetView>
  </sheetViews>
  <sheetFormatPr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65</v>
      </c>
      <c r="C4" s="31">
        <f>C21</f>
        <v>1</v>
      </c>
      <c r="D4" s="37">
        <f>C60</f>
        <v>7</v>
      </c>
      <c r="E4" s="36">
        <f>C4*C$2+D4*D$2</f>
        <v>2.8</v>
      </c>
    </row>
    <row r="5" spans="1:11" x14ac:dyDescent="0.25">
      <c r="A5" s="3">
        <v>2</v>
      </c>
      <c r="B5" s="16" t="s">
        <v>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s="16" t="s">
        <v>5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.75" outlineLevel="1" x14ac:dyDescent="0.25">
      <c r="A11" s="39" t="s">
        <v>6</v>
      </c>
      <c r="B11" s="11" t="str">
        <f>B4</f>
        <v>SEBASTIAN ALEJANDRO VALDES ZUÑIGA</v>
      </c>
      <c r="C11" s="43" t="s">
        <v>7</v>
      </c>
      <c r="D11" s="44" t="s">
        <v>8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9</v>
      </c>
      <c r="C12" s="42"/>
      <c r="D12" s="44" t="s">
        <v>10</v>
      </c>
      <c r="E12" s="46"/>
      <c r="F12" s="44" t="s">
        <v>11</v>
      </c>
      <c r="G12" s="46"/>
      <c r="H12" s="47" t="s">
        <v>12</v>
      </c>
      <c r="I12" s="46"/>
      <c r="J12" s="44" t="s">
        <v>13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10</v>
      </c>
      <c r="D13" s="12"/>
      <c r="E13" s="12" t="str">
        <f>IF(D13="X",100*0.15,"")</f>
        <v/>
      </c>
      <c r="F13" s="12" t="str">
        <f t="shared" ref="F13:F17" si="1">IF($C13=L,"X","")</f>
        <v/>
      </c>
      <c r="G13" s="12" t="str">
        <f>IF(F13="X",60*0.15,"")</f>
        <v/>
      </c>
      <c r="H13" s="12" t="str">
        <f t="shared" ref="H13:H17" si="2">IF($C13=ML,"X","")</f>
        <v/>
      </c>
      <c r="I13" s="12" t="str">
        <f>IF(H13="X",30*0.15,"")</f>
        <v/>
      </c>
      <c r="J13" s="12" t="str">
        <f t="shared" ref="J13:J17" si="3">IF($C13=NL,"X","")</f>
        <v/>
      </c>
      <c r="K13" s="12" t="str">
        <f t="shared" ref="K13:K17" si="4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10</v>
      </c>
      <c r="D14" s="12"/>
      <c r="E14" s="12" t="str">
        <f>IF(D14="X",100*0.25,"")</f>
        <v/>
      </c>
      <c r="F14" s="12" t="str">
        <f t="shared" si="1"/>
        <v/>
      </c>
      <c r="G14" s="12" t="str">
        <f>IF(F14="X",60*0.25,"")</f>
        <v/>
      </c>
      <c r="H14" s="12" t="str">
        <f t="shared" si="2"/>
        <v/>
      </c>
      <c r="I14" s="12" t="str">
        <f>IF(H14="X",30*0.25,"")</f>
        <v/>
      </c>
      <c r="J14" s="12" t="str">
        <f t="shared" si="3"/>
        <v/>
      </c>
      <c r="K14" s="12" t="str">
        <f t="shared" si="4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10</v>
      </c>
      <c r="D15" s="12"/>
      <c r="E15" s="12" t="str">
        <f>IF(D15="X",100*0.2,"")</f>
        <v/>
      </c>
      <c r="F15" s="12" t="str">
        <f t="shared" si="1"/>
        <v/>
      </c>
      <c r="G15" s="12" t="str">
        <f>IF(F15="X",60*0.2,"")</f>
        <v/>
      </c>
      <c r="H15" s="12" t="str">
        <f t="shared" si="2"/>
        <v/>
      </c>
      <c r="I15" s="12" t="str">
        <f>IF(H15="X",30*0.2,"")</f>
        <v/>
      </c>
      <c r="J15" s="12" t="str">
        <f t="shared" si="3"/>
        <v/>
      </c>
      <c r="K15" s="12" t="str">
        <f t="shared" si="4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10</v>
      </c>
      <c r="D16" s="12"/>
      <c r="E16" s="12" t="str">
        <f>IF(D16="X",100*0.05,"")</f>
        <v/>
      </c>
      <c r="F16" s="12" t="str">
        <f t="shared" si="1"/>
        <v/>
      </c>
      <c r="G16" s="12" t="str">
        <f>IF(F16="X",60*0.05,"")</f>
        <v/>
      </c>
      <c r="H16" s="12" t="str">
        <f t="shared" si="2"/>
        <v/>
      </c>
      <c r="I16" s="12" t="str">
        <f>IF(H16="X",30*0.05,"")</f>
        <v/>
      </c>
      <c r="J16" s="12" t="str">
        <f t="shared" si="3"/>
        <v/>
      </c>
      <c r="K16" s="12" t="str">
        <f t="shared" si="4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10</v>
      </c>
      <c r="D17" s="12"/>
      <c r="E17" s="12" t="str">
        <f>IF(D17="X",100*0.05,"")</f>
        <v/>
      </c>
      <c r="F17" s="12" t="str">
        <f t="shared" si="1"/>
        <v/>
      </c>
      <c r="G17" s="12" t="str">
        <f>IF(F17="X",60*0.05,"")</f>
        <v/>
      </c>
      <c r="H17" s="12" t="str">
        <f t="shared" si="2"/>
        <v/>
      </c>
      <c r="I17" s="12" t="str">
        <f>IF(H17="X",30*0.05,"")</f>
        <v/>
      </c>
      <c r="J17" s="12" t="str">
        <f t="shared" si="3"/>
        <v/>
      </c>
      <c r="K17" s="12" t="str">
        <f t="shared" si="4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10</v>
      </c>
      <c r="D18" s="12"/>
      <c r="E18" s="12" t="str">
        <f>IF(D18="X",100*0.2,"")</f>
        <v/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5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10</v>
      </c>
      <c r="D19" s="12"/>
      <c r="E19" s="12" t="str">
        <f>IF(D19="X",100*0.1,"")</f>
        <v/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5"/>
        <v/>
      </c>
    </row>
    <row r="20" spans="1:11" ht="15.75" customHeight="1" outlineLevel="1" x14ac:dyDescent="0.3">
      <c r="A20" s="40"/>
      <c r="B20" s="18" t="s">
        <v>14</v>
      </c>
      <c r="C20" s="22">
        <f>E20+G20+I20+K20</f>
        <v>0</v>
      </c>
      <c r="D20" s="13"/>
      <c r="E20" s="13">
        <f>SUM(E13:E19)</f>
        <v>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15</v>
      </c>
      <c r="C21" s="14">
        <f>VLOOKUP(C20,ESCALA_IEP!A2:B202,2,FALSE)</f>
        <v>1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39" t="s">
        <v>6</v>
      </c>
      <c r="B24" s="11" t="str">
        <f>B5</f>
        <v>ESTUDIANTE 2</v>
      </c>
      <c r="C24" s="43" t="s">
        <v>7</v>
      </c>
      <c r="D24" s="44" t="s">
        <v>8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9</v>
      </c>
      <c r="C25" s="42"/>
      <c r="D25" s="44" t="s">
        <v>10</v>
      </c>
      <c r="E25" s="46"/>
      <c r="F25" s="44" t="s">
        <v>11</v>
      </c>
      <c r="G25" s="46"/>
      <c r="H25" s="47" t="s">
        <v>12</v>
      </c>
      <c r="I25" s="46"/>
      <c r="J25" s="44" t="s">
        <v>13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10</v>
      </c>
      <c r="D26" s="12" t="str">
        <f t="shared" ref="D26:D30" si="6">IF($C26=CL,"X","")</f>
        <v>X</v>
      </c>
      <c r="E26" s="12">
        <f>IF(D26="X",100*0.15,"")</f>
        <v>15</v>
      </c>
      <c r="F26" s="12" t="str">
        <f t="shared" ref="F26:F30" si="7">IF($C26=L,"X","")</f>
        <v/>
      </c>
      <c r="G26" s="12" t="str">
        <f>IF(F26="X",60*0.15,"")</f>
        <v/>
      </c>
      <c r="H26" s="12" t="str">
        <f t="shared" ref="H26:H30" si="8">IF($C26=ML,"X","")</f>
        <v/>
      </c>
      <c r="I26" s="12" t="str">
        <f>IF(H26="X",30*0.15,"")</f>
        <v/>
      </c>
      <c r="J26" s="12" t="str">
        <f t="shared" ref="J26:J30" si="9">IF($C26=NL,"X","")</f>
        <v/>
      </c>
      <c r="K26" s="12" t="str">
        <f t="shared" ref="K26:K32" si="10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10</v>
      </c>
      <c r="D27" s="12" t="str">
        <f t="shared" si="6"/>
        <v>X</v>
      </c>
      <c r="E27" s="12">
        <f>IF(D27="X",100*0.25,"")</f>
        <v>25</v>
      </c>
      <c r="F27" s="12" t="str">
        <f t="shared" si="7"/>
        <v/>
      </c>
      <c r="G27" s="12" t="str">
        <f>IF(F27="X",60*0.25,"")</f>
        <v/>
      </c>
      <c r="H27" s="12" t="str">
        <f t="shared" si="8"/>
        <v/>
      </c>
      <c r="I27" s="12" t="str">
        <f>IF(H27="X",30*0.25,"")</f>
        <v/>
      </c>
      <c r="J27" s="12" t="str">
        <f t="shared" si="9"/>
        <v/>
      </c>
      <c r="K27" s="12" t="str">
        <f t="shared" si="10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10</v>
      </c>
      <c r="D28" s="12" t="str">
        <f t="shared" si="6"/>
        <v>X</v>
      </c>
      <c r="E28" s="12">
        <f>IF(D28="X",100*0.2,"")</f>
        <v>20</v>
      </c>
      <c r="F28" s="12" t="str">
        <f t="shared" si="7"/>
        <v/>
      </c>
      <c r="G28" s="12" t="str">
        <f>IF(F28="X",60*0.2,"")</f>
        <v/>
      </c>
      <c r="H28" s="12" t="str">
        <f t="shared" si="8"/>
        <v/>
      </c>
      <c r="I28" s="12" t="str">
        <f>IF(H28="X",30*0.2,"")</f>
        <v/>
      </c>
      <c r="J28" s="12" t="str">
        <f t="shared" si="9"/>
        <v/>
      </c>
      <c r="K28" s="12" t="str">
        <f t="shared" si="10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10</v>
      </c>
      <c r="D29" s="12" t="str">
        <f t="shared" si="6"/>
        <v>X</v>
      </c>
      <c r="E29" s="12">
        <f>IF(D29="X",100*0.05,"")</f>
        <v>5</v>
      </c>
      <c r="F29" s="12" t="str">
        <f t="shared" si="7"/>
        <v/>
      </c>
      <c r="G29" s="12" t="str">
        <f>IF(F29="X",60*0.05,"")</f>
        <v/>
      </c>
      <c r="H29" s="12" t="str">
        <f t="shared" si="8"/>
        <v/>
      </c>
      <c r="I29" s="12" t="str">
        <f>IF(H29="X",30*0.05,"")</f>
        <v/>
      </c>
      <c r="J29" s="12" t="str">
        <f t="shared" si="9"/>
        <v/>
      </c>
      <c r="K29" s="12" t="str">
        <f t="shared" si="10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10</v>
      </c>
      <c r="D30" s="12" t="str">
        <f t="shared" si="6"/>
        <v>X</v>
      </c>
      <c r="E30" s="12">
        <f>IF(D30="X",100*0.05,"")</f>
        <v>5</v>
      </c>
      <c r="F30" s="12" t="str">
        <f t="shared" si="7"/>
        <v/>
      </c>
      <c r="G30" s="12" t="str">
        <f>IF(F30="X",60*0.05,"")</f>
        <v/>
      </c>
      <c r="H30" s="12" t="str">
        <f t="shared" si="8"/>
        <v/>
      </c>
      <c r="I30" s="12" t="str">
        <f>IF(H30="X",30*0.05,"")</f>
        <v/>
      </c>
      <c r="J30" s="12" t="str">
        <f t="shared" si="9"/>
        <v/>
      </c>
      <c r="K30" s="12" t="str">
        <f t="shared" si="10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10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0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10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0"/>
        <v/>
      </c>
    </row>
    <row r="33" spans="1:11" ht="24" customHeight="1" x14ac:dyDescent="0.3">
      <c r="A33" s="40"/>
      <c r="B33" s="18" t="s">
        <v>14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15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39" t="s">
        <v>6</v>
      </c>
      <c r="B37" s="11" t="str">
        <f>B6</f>
        <v>ESTUDIANTE 3</v>
      </c>
      <c r="C37" s="43" t="s">
        <v>7</v>
      </c>
      <c r="D37" s="44" t="s">
        <v>8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9</v>
      </c>
      <c r="C38" s="42"/>
      <c r="D38" s="44" t="s">
        <v>10</v>
      </c>
      <c r="E38" s="46"/>
      <c r="F38" s="44" t="s">
        <v>11</v>
      </c>
      <c r="G38" s="46"/>
      <c r="H38" s="47" t="s">
        <v>12</v>
      </c>
      <c r="I38" s="46"/>
      <c r="J38" s="44" t="s">
        <v>13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10</v>
      </c>
      <c r="D39" s="12" t="str">
        <f t="shared" ref="D39:D43" si="11">IF($C39=CL,"X","")</f>
        <v>X</v>
      </c>
      <c r="E39" s="12">
        <f>IF(D39="X",100*0.15,"")</f>
        <v>15</v>
      </c>
      <c r="F39" s="12" t="str">
        <f t="shared" ref="F39:F43" si="12">IF($C39=L,"X","")</f>
        <v/>
      </c>
      <c r="G39" s="12" t="str">
        <f>IF(F39="X",60*0.15,"")</f>
        <v/>
      </c>
      <c r="H39" s="12" t="str">
        <f t="shared" ref="H39:H43" si="13">IF($C39=ML,"X","")</f>
        <v/>
      </c>
      <c r="I39" s="12" t="str">
        <f>IF(H39="X",30*0.15,"")</f>
        <v/>
      </c>
      <c r="J39" s="12" t="str">
        <f t="shared" ref="J39:J43" si="14">IF($C39=NL,"X","")</f>
        <v/>
      </c>
      <c r="K39" s="12" t="str">
        <f t="shared" ref="K39:K45" si="15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10</v>
      </c>
      <c r="D40" s="12" t="str">
        <f t="shared" si="11"/>
        <v>X</v>
      </c>
      <c r="E40" s="12">
        <f>IF(D40="X",100*0.25,"")</f>
        <v>25</v>
      </c>
      <c r="F40" s="12" t="str">
        <f t="shared" si="12"/>
        <v/>
      </c>
      <c r="G40" s="12" t="str">
        <f>IF(F40="X",60*0.25,"")</f>
        <v/>
      </c>
      <c r="H40" s="12" t="str">
        <f t="shared" si="13"/>
        <v/>
      </c>
      <c r="I40" s="12" t="str">
        <f>IF(H40="X",30*0.25,"")</f>
        <v/>
      </c>
      <c r="J40" s="12" t="str">
        <f t="shared" si="14"/>
        <v/>
      </c>
      <c r="K40" s="12" t="str">
        <f t="shared" si="15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10</v>
      </c>
      <c r="D41" s="12" t="str">
        <f t="shared" si="11"/>
        <v>X</v>
      </c>
      <c r="E41" s="12">
        <f>IF(D41="X",100*0.2,"")</f>
        <v>20</v>
      </c>
      <c r="F41" s="12" t="str">
        <f t="shared" si="12"/>
        <v/>
      </c>
      <c r="G41" s="12" t="str">
        <f>IF(F41="X",60*0.2,"")</f>
        <v/>
      </c>
      <c r="H41" s="12" t="str">
        <f t="shared" si="13"/>
        <v/>
      </c>
      <c r="I41" s="12" t="str">
        <f>IF(H41="X",30*0.2,"")</f>
        <v/>
      </c>
      <c r="J41" s="12" t="str">
        <f t="shared" si="14"/>
        <v/>
      </c>
      <c r="K41" s="12" t="str">
        <f t="shared" si="15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10</v>
      </c>
      <c r="D42" s="12" t="str">
        <f t="shared" si="11"/>
        <v>X</v>
      </c>
      <c r="E42" s="12">
        <f>IF(D42="X",100*0.05,"")</f>
        <v>5</v>
      </c>
      <c r="F42" s="12" t="str">
        <f t="shared" si="12"/>
        <v/>
      </c>
      <c r="G42" s="12" t="str">
        <f>IF(F42="X",60*0.05,"")</f>
        <v/>
      </c>
      <c r="H42" s="12" t="str">
        <f t="shared" si="13"/>
        <v/>
      </c>
      <c r="I42" s="12" t="str">
        <f>IF(H42="X",30*0.05,"")</f>
        <v/>
      </c>
      <c r="J42" s="12" t="str">
        <f t="shared" si="14"/>
        <v/>
      </c>
      <c r="K42" s="12" t="str">
        <f t="shared" si="15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10</v>
      </c>
      <c r="D43" s="12" t="str">
        <f t="shared" si="11"/>
        <v>X</v>
      </c>
      <c r="E43" s="12">
        <f>IF(D43="X",100*0.05,"")</f>
        <v>5</v>
      </c>
      <c r="F43" s="12" t="str">
        <f t="shared" si="12"/>
        <v/>
      </c>
      <c r="G43" s="12" t="str">
        <f>IF(F43="X",60*0.05,"")</f>
        <v/>
      </c>
      <c r="H43" s="12" t="str">
        <f t="shared" si="13"/>
        <v/>
      </c>
      <c r="I43" s="12" t="str">
        <f>IF(H43="X",30*0.05,"")</f>
        <v/>
      </c>
      <c r="J43" s="12" t="str">
        <f t="shared" si="14"/>
        <v/>
      </c>
      <c r="K43" s="12" t="str">
        <f t="shared" si="15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10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5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10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5"/>
        <v/>
      </c>
    </row>
    <row r="46" spans="1:11" ht="24" customHeight="1" x14ac:dyDescent="0.3">
      <c r="A46" s="40"/>
      <c r="B46" s="18" t="s">
        <v>14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15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8" t="s">
        <v>16</v>
      </c>
      <c r="B50" s="11" t="str">
        <f>B4</f>
        <v>SEBASTIAN ALEJANDRO VALDES ZUÑIGA</v>
      </c>
      <c r="C50" s="43" t="s">
        <v>7</v>
      </c>
      <c r="D50" s="44" t="s">
        <v>8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9</v>
      </c>
      <c r="C51" s="42"/>
      <c r="D51" s="44" t="s">
        <v>10</v>
      </c>
      <c r="E51" s="46"/>
      <c r="F51" s="44" t="s">
        <v>11</v>
      </c>
      <c r="G51" s="46"/>
      <c r="H51" s="47" t="s">
        <v>12</v>
      </c>
      <c r="I51" s="46"/>
      <c r="J51" s="44" t="s">
        <v>13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10</v>
      </c>
      <c r="D52" s="12" t="str">
        <f t="shared" ref="D52:D56" si="16">IF($C52=CL,"X","")</f>
        <v>X</v>
      </c>
      <c r="E52" s="12">
        <f>IF(D52="X",100*0.15,"")</f>
        <v>15</v>
      </c>
      <c r="F52" s="12" t="str">
        <f t="shared" ref="F52:F56" si="17">IF($C52=L,"X","")</f>
        <v/>
      </c>
      <c r="G52" s="12" t="str">
        <f>IF(F52="X",60*0.15,"")</f>
        <v/>
      </c>
      <c r="H52" s="12" t="str">
        <f t="shared" ref="H52:H56" si="18">IF($C52=ML,"X","")</f>
        <v/>
      </c>
      <c r="I52" s="12" t="str">
        <f>IF(H52="X",30*0.15,"")</f>
        <v/>
      </c>
      <c r="J52" s="12" t="str">
        <f t="shared" ref="J52:J56" si="19">IF($C52=NL,"X","")</f>
        <v/>
      </c>
      <c r="K52" s="12" t="str">
        <f t="shared" ref="K52:K58" si="20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10</v>
      </c>
      <c r="D53" s="12" t="str">
        <f t="shared" si="16"/>
        <v>X</v>
      </c>
      <c r="E53" s="12">
        <f>IF(D53="X",100*0.25,"")</f>
        <v>25</v>
      </c>
      <c r="F53" s="12" t="str">
        <f t="shared" si="17"/>
        <v/>
      </c>
      <c r="G53" s="12" t="str">
        <f>IF(F53="X",60*0.25,"")</f>
        <v/>
      </c>
      <c r="H53" s="12" t="str">
        <f t="shared" si="18"/>
        <v/>
      </c>
      <c r="I53" s="12" t="str">
        <f>IF(H53="X",30*0.25,"")</f>
        <v/>
      </c>
      <c r="J53" s="12" t="str">
        <f t="shared" si="19"/>
        <v/>
      </c>
      <c r="K53" s="12" t="str">
        <f t="shared" si="20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10</v>
      </c>
      <c r="D54" s="12" t="str">
        <f t="shared" si="16"/>
        <v>X</v>
      </c>
      <c r="E54" s="12">
        <f>IF(D54="X",100*0.2,"")</f>
        <v>20</v>
      </c>
      <c r="F54" s="12" t="str">
        <f t="shared" si="17"/>
        <v/>
      </c>
      <c r="G54" s="12" t="str">
        <f>IF(F54="X",60*0.2,"")</f>
        <v/>
      </c>
      <c r="H54" s="12" t="str">
        <f t="shared" si="18"/>
        <v/>
      </c>
      <c r="I54" s="12" t="str">
        <f>IF(H54="X",30*0.2,"")</f>
        <v/>
      </c>
      <c r="J54" s="12" t="str">
        <f t="shared" si="19"/>
        <v/>
      </c>
      <c r="K54" s="12" t="str">
        <f t="shared" si="20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10</v>
      </c>
      <c r="D55" s="12" t="str">
        <f t="shared" si="16"/>
        <v>X</v>
      </c>
      <c r="E55" s="12">
        <f>IF(D55="X",100*0.05,"")</f>
        <v>5</v>
      </c>
      <c r="F55" s="12" t="str">
        <f t="shared" si="17"/>
        <v/>
      </c>
      <c r="G55" s="12" t="str">
        <f>IF(F55="X",60*0.05,"")</f>
        <v/>
      </c>
      <c r="H55" s="12" t="str">
        <f t="shared" si="18"/>
        <v/>
      </c>
      <c r="I55" s="12" t="str">
        <f>IF(H55="X",30*0.05,"")</f>
        <v/>
      </c>
      <c r="J55" s="12" t="str">
        <f t="shared" si="19"/>
        <v/>
      </c>
      <c r="K55" s="12" t="str">
        <f t="shared" si="20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10</v>
      </c>
      <c r="D56" s="12" t="str">
        <f t="shared" si="16"/>
        <v>X</v>
      </c>
      <c r="E56" s="12">
        <f>IF(D56="X",100*0.05,"")</f>
        <v>5</v>
      </c>
      <c r="F56" s="12" t="str">
        <f t="shared" si="17"/>
        <v/>
      </c>
      <c r="G56" s="12" t="str">
        <f>IF(F56="X",60*0.05,"")</f>
        <v/>
      </c>
      <c r="H56" s="12" t="str">
        <f t="shared" si="18"/>
        <v/>
      </c>
      <c r="I56" s="12" t="str">
        <f>IF(H56="X",30*0.05,"")</f>
        <v/>
      </c>
      <c r="J56" s="12" t="str">
        <f t="shared" si="19"/>
        <v/>
      </c>
      <c r="K56" s="12" t="str">
        <f t="shared" si="20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10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0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10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0"/>
        <v/>
      </c>
    </row>
    <row r="59" spans="1:11" ht="24" customHeight="1" x14ac:dyDescent="0.3">
      <c r="A59" s="40"/>
      <c r="B59" s="18" t="s">
        <v>14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15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8" t="s">
        <v>17</v>
      </c>
      <c r="B63" s="11" t="str">
        <f>B5</f>
        <v>ESTUDIANTE 2</v>
      </c>
      <c r="C63" s="43" t="s">
        <v>7</v>
      </c>
      <c r="D63" s="44" t="s">
        <v>8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9</v>
      </c>
      <c r="C64" s="42"/>
      <c r="D64" s="44" t="s">
        <v>10</v>
      </c>
      <c r="E64" s="46"/>
      <c r="F64" s="44" t="s">
        <v>11</v>
      </c>
      <c r="G64" s="46"/>
      <c r="H64" s="47" t="s">
        <v>12</v>
      </c>
      <c r="I64" s="46"/>
      <c r="J64" s="44" t="s">
        <v>13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10</v>
      </c>
      <c r="D65" s="12" t="str">
        <f t="shared" ref="D65:D69" si="21">IF($C65=CL,"X","")</f>
        <v>X</v>
      </c>
      <c r="E65" s="12">
        <f>IF(D65="X",100*0.15,"")</f>
        <v>15</v>
      </c>
      <c r="F65" s="12" t="str">
        <f t="shared" ref="F65:F69" si="22">IF($C65=L,"X","")</f>
        <v/>
      </c>
      <c r="G65" s="12" t="str">
        <f>IF(F65="X",60*0.15,"")</f>
        <v/>
      </c>
      <c r="H65" s="12" t="str">
        <f t="shared" ref="H65:H69" si="23">IF($C65=ML,"X","")</f>
        <v/>
      </c>
      <c r="I65" s="12" t="str">
        <f>IF(H65="X",30*0.15,"")</f>
        <v/>
      </c>
      <c r="J65" s="12" t="str">
        <f t="shared" ref="J65:J69" si="24">IF($C65=NL,"X","")</f>
        <v/>
      </c>
      <c r="K65" s="12" t="str">
        <f t="shared" ref="K65:K71" si="25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10</v>
      </c>
      <c r="D66" s="12" t="str">
        <f t="shared" si="21"/>
        <v>X</v>
      </c>
      <c r="E66" s="12">
        <f>IF(D66="X",100*0.25,"")</f>
        <v>25</v>
      </c>
      <c r="F66" s="12" t="str">
        <f t="shared" si="22"/>
        <v/>
      </c>
      <c r="G66" s="12" t="str">
        <f>IF(F66="X",60*0.25,"")</f>
        <v/>
      </c>
      <c r="H66" s="12" t="str">
        <f t="shared" si="23"/>
        <v/>
      </c>
      <c r="I66" s="12" t="str">
        <f>IF(H66="X",30*0.25,"")</f>
        <v/>
      </c>
      <c r="J66" s="12" t="str">
        <f t="shared" si="24"/>
        <v/>
      </c>
      <c r="K66" s="12" t="str">
        <f t="shared" si="25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10</v>
      </c>
      <c r="D67" s="12" t="str">
        <f t="shared" si="21"/>
        <v>X</v>
      </c>
      <c r="E67" s="12">
        <f>IF(D67="X",100*0.2,"")</f>
        <v>20</v>
      </c>
      <c r="F67" s="12" t="str">
        <f t="shared" si="22"/>
        <v/>
      </c>
      <c r="G67" s="12" t="str">
        <f>IF(F67="X",60*0.2,"")</f>
        <v/>
      </c>
      <c r="H67" s="12" t="str">
        <f t="shared" si="23"/>
        <v/>
      </c>
      <c r="I67" s="12" t="str">
        <f>IF(H67="X",30*0.2,"")</f>
        <v/>
      </c>
      <c r="J67" s="12" t="str">
        <f t="shared" si="24"/>
        <v/>
      </c>
      <c r="K67" s="12" t="str">
        <f t="shared" si="25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10</v>
      </c>
      <c r="D68" s="12" t="str">
        <f t="shared" si="21"/>
        <v>X</v>
      </c>
      <c r="E68" s="12">
        <f>IF(D68="X",100*0.05,"")</f>
        <v>5</v>
      </c>
      <c r="F68" s="12" t="str">
        <f t="shared" si="22"/>
        <v/>
      </c>
      <c r="G68" s="12" t="str">
        <f>IF(F68="X",60*0.05,"")</f>
        <v/>
      </c>
      <c r="H68" s="12" t="str">
        <f t="shared" si="23"/>
        <v/>
      </c>
      <c r="I68" s="12" t="str">
        <f>IF(H68="X",30*0.05,"")</f>
        <v/>
      </c>
      <c r="J68" s="12" t="str">
        <f t="shared" si="24"/>
        <v/>
      </c>
      <c r="K68" s="12" t="str">
        <f t="shared" si="25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10</v>
      </c>
      <c r="D69" s="12" t="str">
        <f t="shared" si="21"/>
        <v>X</v>
      </c>
      <c r="E69" s="12">
        <f>IF(D69="X",100*0.05,"")</f>
        <v>5</v>
      </c>
      <c r="F69" s="12" t="str">
        <f t="shared" si="22"/>
        <v/>
      </c>
      <c r="G69" s="12" t="str">
        <f>IF(F69="X",60*0.05,"")</f>
        <v/>
      </c>
      <c r="H69" s="12" t="str">
        <f t="shared" si="23"/>
        <v/>
      </c>
      <c r="I69" s="12" t="str">
        <f>IF(H69="X",30*0.05,"")</f>
        <v/>
      </c>
      <c r="J69" s="12" t="str">
        <f t="shared" si="24"/>
        <v/>
      </c>
      <c r="K69" s="12" t="str">
        <f t="shared" si="25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10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5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10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5"/>
        <v/>
      </c>
    </row>
    <row r="72" spans="1:11" ht="24" customHeight="1" x14ac:dyDescent="0.3">
      <c r="A72" s="40"/>
      <c r="B72" s="18" t="s">
        <v>14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15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8" t="s">
        <v>18</v>
      </c>
      <c r="B76" s="11" t="str">
        <f>B6</f>
        <v>ESTUDIANTE 3</v>
      </c>
      <c r="C76" s="43" t="s">
        <v>7</v>
      </c>
      <c r="D76" s="44" t="s">
        <v>8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9</v>
      </c>
      <c r="C77" s="42"/>
      <c r="D77" s="44" t="s">
        <v>10</v>
      </c>
      <c r="E77" s="46"/>
      <c r="F77" s="44" t="s">
        <v>11</v>
      </c>
      <c r="G77" s="46"/>
      <c r="H77" s="47" t="s">
        <v>12</v>
      </c>
      <c r="I77" s="46"/>
      <c r="J77" s="44" t="s">
        <v>13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10</v>
      </c>
      <c r="D78" s="12" t="str">
        <f t="shared" ref="D78:D82" si="26">IF($C78=CL,"X","")</f>
        <v>X</v>
      </c>
      <c r="E78" s="12">
        <f>IF(D78="X",100*0.15,"")</f>
        <v>15</v>
      </c>
      <c r="F78" s="12" t="str">
        <f t="shared" ref="F78:F82" si="27">IF($C78=L,"X","")</f>
        <v/>
      </c>
      <c r="G78" s="12" t="str">
        <f>IF(F78="X",60*0.15,"")</f>
        <v/>
      </c>
      <c r="H78" s="12" t="str">
        <f t="shared" ref="H78:H82" si="28">IF($C78=ML,"X","")</f>
        <v/>
      </c>
      <c r="I78" s="12" t="str">
        <f>IF(H78="X",30*0.15,"")</f>
        <v/>
      </c>
      <c r="J78" s="12" t="str">
        <f t="shared" ref="J78:J82" si="29">IF($C78=NL,"X","")</f>
        <v/>
      </c>
      <c r="K78" s="12" t="str">
        <f t="shared" ref="K78:K84" si="30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10</v>
      </c>
      <c r="D79" s="12" t="str">
        <f t="shared" si="26"/>
        <v>X</v>
      </c>
      <c r="E79" s="12">
        <f>IF(D79="X",100*0.25,"")</f>
        <v>25</v>
      </c>
      <c r="F79" s="12" t="str">
        <f t="shared" si="27"/>
        <v/>
      </c>
      <c r="G79" s="12" t="str">
        <f>IF(F79="X",60*0.25,"")</f>
        <v/>
      </c>
      <c r="H79" s="12" t="str">
        <f t="shared" si="28"/>
        <v/>
      </c>
      <c r="I79" s="12" t="str">
        <f>IF(H79="X",30*0.25,"")</f>
        <v/>
      </c>
      <c r="J79" s="12" t="str">
        <f t="shared" si="29"/>
        <v/>
      </c>
      <c r="K79" s="12" t="str">
        <f t="shared" si="30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10</v>
      </c>
      <c r="D80" s="12" t="str">
        <f t="shared" si="26"/>
        <v>X</v>
      </c>
      <c r="E80" s="12">
        <f>IF(D80="X",100*0.2,"")</f>
        <v>20</v>
      </c>
      <c r="F80" s="12" t="str">
        <f t="shared" si="27"/>
        <v/>
      </c>
      <c r="G80" s="12" t="str">
        <f>IF(F80="X",60*0.2,"")</f>
        <v/>
      </c>
      <c r="H80" s="12" t="str">
        <f t="shared" si="28"/>
        <v/>
      </c>
      <c r="I80" s="12" t="str">
        <f>IF(H80="X",30*0.2,"")</f>
        <v/>
      </c>
      <c r="J80" s="12" t="str">
        <f t="shared" si="29"/>
        <v/>
      </c>
      <c r="K80" s="12" t="str">
        <f t="shared" si="30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10</v>
      </c>
      <c r="D81" s="12" t="str">
        <f t="shared" si="26"/>
        <v>X</v>
      </c>
      <c r="E81" s="12">
        <f>IF(D81="X",100*0.05,"")</f>
        <v>5</v>
      </c>
      <c r="F81" s="12" t="str">
        <f t="shared" si="27"/>
        <v/>
      </c>
      <c r="G81" s="12" t="str">
        <f>IF(F81="X",60*0.05,"")</f>
        <v/>
      </c>
      <c r="H81" s="12" t="str">
        <f t="shared" si="28"/>
        <v/>
      </c>
      <c r="I81" s="12" t="str">
        <f>IF(H81="X",30*0.05,"")</f>
        <v/>
      </c>
      <c r="J81" s="12" t="str">
        <f t="shared" si="29"/>
        <v/>
      </c>
      <c r="K81" s="12" t="str">
        <f t="shared" si="30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10</v>
      </c>
      <c r="D82" s="12" t="str">
        <f t="shared" si="26"/>
        <v>X</v>
      </c>
      <c r="E82" s="12">
        <f>IF(D82="X",100*0.05,"")</f>
        <v>5</v>
      </c>
      <c r="F82" s="12" t="str">
        <f t="shared" si="27"/>
        <v/>
      </c>
      <c r="G82" s="12" t="str">
        <f>IF(F82="X",60*0.05,"")</f>
        <v/>
      </c>
      <c r="H82" s="12" t="str">
        <f t="shared" si="28"/>
        <v/>
      </c>
      <c r="I82" s="12" t="str">
        <f>IF(H82="X",30*0.05,"")</f>
        <v/>
      </c>
      <c r="J82" s="12" t="str">
        <f t="shared" si="29"/>
        <v/>
      </c>
      <c r="K82" s="12" t="str">
        <f t="shared" si="30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10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0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10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0"/>
        <v/>
      </c>
    </row>
    <row r="85" spans="1:11" ht="24" customHeight="1" x14ac:dyDescent="0.3">
      <c r="A85" s="40"/>
      <c r="B85" s="18" t="s">
        <v>14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15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zoomScale="80" zoomScaleNormal="80" workbookViewId="0">
      <selection activeCell="E11" sqref="E11"/>
    </sheetView>
  </sheetViews>
  <sheetFormatPr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19</v>
      </c>
      <c r="B1" s="51" t="s">
        <v>20</v>
      </c>
      <c r="C1" s="52"/>
      <c r="D1" s="52"/>
      <c r="E1" s="53"/>
      <c r="F1" s="49" t="s">
        <v>21</v>
      </c>
    </row>
    <row r="2" spans="1:6" x14ac:dyDescent="0.25">
      <c r="A2" s="50"/>
      <c r="B2" s="54" t="s">
        <v>22</v>
      </c>
      <c r="C2" s="54" t="s">
        <v>23</v>
      </c>
      <c r="D2" s="25" t="s">
        <v>24</v>
      </c>
      <c r="E2" s="26" t="s">
        <v>13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25</v>
      </c>
      <c r="B4" s="23" t="s">
        <v>26</v>
      </c>
      <c r="C4" s="23" t="s">
        <v>27</v>
      </c>
      <c r="D4" s="23" t="s">
        <v>28</v>
      </c>
      <c r="E4" s="23" t="s">
        <v>29</v>
      </c>
      <c r="F4" s="28">
        <v>15</v>
      </c>
    </row>
    <row r="5" spans="1:6" ht="136.9" customHeight="1" x14ac:dyDescent="0.25">
      <c r="A5" s="23" t="s">
        <v>30</v>
      </c>
      <c r="B5" s="23" t="s">
        <v>31</v>
      </c>
      <c r="C5" s="23" t="s">
        <v>32</v>
      </c>
      <c r="D5" s="23" t="s">
        <v>33</v>
      </c>
      <c r="E5" s="23" t="s">
        <v>34</v>
      </c>
      <c r="F5" s="28">
        <v>25</v>
      </c>
    </row>
    <row r="6" spans="1:6" ht="87" customHeight="1" x14ac:dyDescent="0.25">
      <c r="A6" s="23" t="s">
        <v>35</v>
      </c>
      <c r="B6" s="23" t="s">
        <v>36</v>
      </c>
      <c r="C6" s="23" t="s">
        <v>37</v>
      </c>
      <c r="D6" s="23" t="s">
        <v>38</v>
      </c>
      <c r="E6" s="23" t="s">
        <v>39</v>
      </c>
      <c r="F6" s="28">
        <v>20</v>
      </c>
    </row>
    <row r="7" spans="1:6" ht="89.25" x14ac:dyDescent="0.25">
      <c r="A7" s="23" t="s">
        <v>40</v>
      </c>
      <c r="B7" s="23" t="s">
        <v>41</v>
      </c>
      <c r="C7" s="23" t="s">
        <v>42</v>
      </c>
      <c r="D7" s="23" t="s">
        <v>43</v>
      </c>
      <c r="E7" s="23" t="s">
        <v>44</v>
      </c>
      <c r="F7" s="28">
        <v>5</v>
      </c>
    </row>
    <row r="8" spans="1:6" ht="89.25" x14ac:dyDescent="0.25">
      <c r="A8" s="23" t="s">
        <v>45</v>
      </c>
      <c r="B8" s="23" t="s">
        <v>46</v>
      </c>
      <c r="C8" s="23" t="s">
        <v>47</v>
      </c>
      <c r="D8" s="23" t="s">
        <v>48</v>
      </c>
      <c r="E8" s="23" t="s">
        <v>49</v>
      </c>
      <c r="F8" s="28">
        <v>5</v>
      </c>
    </row>
    <row r="9" spans="1:6" ht="89.25" x14ac:dyDescent="0.25">
      <c r="A9" s="23" t="s">
        <v>50</v>
      </c>
      <c r="B9" s="23" t="s">
        <v>51</v>
      </c>
      <c r="C9" s="23" t="s">
        <v>52</v>
      </c>
      <c r="D9" s="23" t="s">
        <v>53</v>
      </c>
      <c r="E9" s="23" t="s">
        <v>54</v>
      </c>
      <c r="F9" s="24">
        <v>20</v>
      </c>
    </row>
    <row r="10" spans="1:6" ht="126" customHeight="1" x14ac:dyDescent="0.25">
      <c r="A10" s="23" t="s">
        <v>55</v>
      </c>
      <c r="B10" s="23" t="s">
        <v>56</v>
      </c>
      <c r="C10" s="23" t="s">
        <v>57</v>
      </c>
      <c r="D10" s="23" t="s">
        <v>58</v>
      </c>
      <c r="E10" s="23" t="s">
        <v>59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defaultColWidth="14.42578125" defaultRowHeight="15" customHeight="1" x14ac:dyDescent="0.25"/>
  <cols>
    <col min="1" max="26" width="10.7109375" customWidth="1"/>
  </cols>
  <sheetData>
    <row r="1" spans="1:2" x14ac:dyDescent="0.25">
      <c r="A1" t="s">
        <v>14</v>
      </c>
      <c r="B1" t="s">
        <v>15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 x14ac:dyDescent="0.25"/>
  <cols>
    <col min="1" max="26" width="10.7109375" customWidth="1"/>
  </cols>
  <sheetData>
    <row r="1" spans="1:2" x14ac:dyDescent="0.25">
      <c r="A1" t="s">
        <v>60</v>
      </c>
      <c r="B1" t="s">
        <v>61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defaultColWidth="14.42578125" defaultRowHeight="15" customHeight="1" x14ac:dyDescent="0.25"/>
  <cols>
    <col min="1" max="26" width="10.7109375" customWidth="1"/>
  </cols>
  <sheetData>
    <row r="1" spans="1:2" x14ac:dyDescent="0.25">
      <c r="A1" t="s">
        <v>14</v>
      </c>
      <c r="B1" t="s">
        <v>15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62</v>
      </c>
      <c r="B1" s="4" t="s">
        <v>14</v>
      </c>
      <c r="C1" s="5"/>
      <c r="D1" s="5"/>
      <c r="E1" s="6"/>
    </row>
    <row r="2" spans="1:5" ht="45.75" thickBot="1" x14ac:dyDescent="0.3">
      <c r="A2" s="57"/>
      <c r="B2" s="7" t="s">
        <v>10</v>
      </c>
      <c r="C2" s="8" t="s">
        <v>11</v>
      </c>
      <c r="D2" s="20" t="s">
        <v>63</v>
      </c>
      <c r="E2" s="38" t="s">
        <v>13</v>
      </c>
    </row>
    <row r="3" spans="1:5" ht="30.75" thickBot="1" x14ac:dyDescent="0.3">
      <c r="A3" s="9" t="s">
        <v>64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SEBASTIAN ALEJANDRO VALDES ZUÑIGA</cp:lastModifiedBy>
  <cp:revision/>
  <dcterms:created xsi:type="dcterms:W3CDTF">2023-08-07T04:08:01Z</dcterms:created>
  <dcterms:modified xsi:type="dcterms:W3CDTF">2026-10-30T02:00:26Z</dcterms:modified>
  <cp:category/>
  <cp:contentStatus/>
</cp:coreProperties>
</file>